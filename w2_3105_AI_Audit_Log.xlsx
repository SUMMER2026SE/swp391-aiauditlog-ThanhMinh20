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i_hoc\Ki_5\SWP391\AI_audit_log\"/>
    </mc:Choice>
  </mc:AlternateContent>
  <xr:revisionPtr revIDLastSave="0" documentId="13_ncr:1_{3259CE78-A844-41A7-BC64-32326482AEC2}" xr6:coauthVersionLast="47" xr6:coauthVersionMax="47" xr10:uidLastSave="{00000000-0000-0000-0000-000000000000}"/>
  <bookViews>
    <workbookView xWindow="-108" yWindow="-108" windowWidth="23256" windowHeight="12456"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<sst xmlns="http://schemas.openxmlformats.org/spreadsheetml/2006/main" count="216" uniqueCount="184">
  <si>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</si>
  <si>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</si>
  <si>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</si>
  <si>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</si>
  <si>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</si>
  <si>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</si>
  <si>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</si>
  <si>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</si>
  <si>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</si>
  <si>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</si>
  <si>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</si>
  <si>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</si>
  <si>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</si>
  <si>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</si>
  <si>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</si>
  <si>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</si>
  <si>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</si>
  <si>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Medium</t>
  </si>
  <si>
    <t>CORE PROMPTS DISTRIBUTION BY DTC COMPONENT</t>
  </si>
  <si>
    <t>DTC Component</t>
  </si>
  <si>
    <t>Number of Prompts</t>
  </si>
  <si>
    <t>Required (Min)</t>
  </si>
  <si>
    <t>Decomposition</t>
  </si>
  <si>
    <t>≥ 1</t>
  </si>
  <si>
    <t>Pattern Recognition</t>
  </si>
  <si>
    <t>Abstraction</t>
  </si>
  <si>
    <t>Algorithms</t>
  </si>
  <si>
    <t>DETAILED AI AUDIT LOG</t>
  </si>
  <si>
    <t>Entry #</t>
  </si>
  <si>
    <t>Prompt Type</t>
  </si>
  <si>
    <t>Stage/Component</t>
  </si>
  <si>
    <t>Problem/Context</t>
  </si>
  <si>
    <t>Prompt to AI</t>
  </si>
  <si>
    <t>AI Response (Summary)</t>
  </si>
  <si>
    <t>Human Delta &amp; Reflection</t>
  </si>
  <si>
    <t>DECISION</t>
  </si>
  <si>
    <t>PROBLEM-SOLVING</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</si>
  <si>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</si>
  <si>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</si>
  <si>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</si>
  <si>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</si>
  <si>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</si>
  <si>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</si>
  <si>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</si>
  <si>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</si>
  <si>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</si>
  <si>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</si>
  <si>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</si>
  <si>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</si>
  <si>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</si>
  <si>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</si>
  <si>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</si>
  <si>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</si>
  <si>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</si>
  <si>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</si>
  <si>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</si>
  <si>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</si>
  <si>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</si>
  <si>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</si>
  <si>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</si>
  <si>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</si>
  <si>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</si>
  <si>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</si>
  <si>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</si>
  <si>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</si>
  <si>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</si>
  <si>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</si>
  <si>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</si>
  <si>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</si>
  <si>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</si>
  <si>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</si>
  <si>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</si>
  <si>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</si>
  <si>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</si>
  <si>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</si>
  <si>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</si>
  <si>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</si>
  <si>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</si>
  <si>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</si>
  <si>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</si>
  <si>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</si>
  <si>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</si>
  <si>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</si>
  <si>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</si>
  <si>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</si>
  <si>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</si>
  <si>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</si>
  <si>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</si>
  <si>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</si>
  <si>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</si>
  <si>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</si>
  <si>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</si>
  <si>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</si>
  <si>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</si>
  <si>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</si>
  <si>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</si>
  <si>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</si>
  <si>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Thị Thanh Minh</t>
  </si>
  <si>
    <t>DE200340</t>
  </si>
  <si>
    <t>SWP391</t>
  </si>
  <si>
    <t>☑ Pass</t>
  </si>
  <si>
    <t>100% (7/7 entries) đều phân tích đủ 4 khía cạnh: Critical Thinking (Tư duy phản biện), Contextualization (Ngữ cảnh hoá vào SWP391/IELTSFlow), Creative Synthesis (Tổng hợp sáng tạo), và Decision Ownership (Làm chủ quyết định).</t>
  </si>
  <si>
    <t>AI AUDIT LOG - METADATA &amp; SUMMARY (WEEK 2: MAY 25 - MAY 31)</t>
  </si>
  <si>
    <t>IELTSFlow - Week 2 Audit Log (Architecture &amp; Module Decomposition)</t>
  </si>
  <si>
    <t>~180</t>
  </si>
  <si>
    <t>ChatGPT (GPT-4o/5.5)</t>
  </si>
  <si>
    <t>Architecture breakdown, domain modeling, usecase verification</t>
  </si>
  <si>
    <t>Deep reflection &amp; technical synthesis</t>
  </si>
  <si>
    <t>Claude 3.5 Sonnet</t>
  </si>
  <si>
    <t>ERD review, API contract design, anti-cheating logic analysis</t>
  </si>
  <si>
    <t>Structured system analysis &amp; edge cases</t>
  </si>
  <si>
    <t>Nhóm 6 thành viên cần chia hệ thống IELTSFlow thành các module nghiệp vụ độc lập (Domain Modules) để phát triển song song trong 10 tuần, tránh conflict code và cân bằng khối lượng theo năng lực.</t>
  </si>
  <si>
    <t>Hệ thống IELTSFlow gồm các chức năng luyện IELTS 4 kỹ năng, AI feedback, mentor, admin và dashboard. Hãy gợi ý cách chia hệ thống thành các module nghiệp vụ để 6 thành viên có thể phát triển song song. Cân nhắc độ khó thực tế cho sinh viên IT.</t>
  </si>
  <si>
    <t>AI đề xuất 6 module: Core &amp; Admin (Auth/RBAC - độ khó 4.5/10), LMS &amp; Content (Mentor/Candidate learning - 5.5/10), Receptive Skills &amp; Mock Test (Listening/Reading timer - 8/10), Productive Skills &amp; AI Service (Speaking/Writing STT/grading - 9.5/10), Personalization &amp; Roadmap (Placement test/Roadmap - 8.5/10), Commerce &amp; Analytics (Dashboard/Payment - 8/10).</t>
  </si>
  <si>
    <t>Critical Thinking: Nhận thấy đánh giá của AI rất sát thực tế, đặc biệt là module Thành viên 4 (AI Speaking/Writing) quá nặng cho 1 người, trong khi Thành viên 1 và 2 nhẹ hơn.
Contextualization: Đồ án SWP391 nhóm 6 sinh viên có năng lực code không đều, cần phân công người vững technical chịu trách nhiệm AI Service &amp; Mock Test, các thành viên khác lo Core/Auth và LMS/UI.
Creative Synthesis: Chốt kiến trúc 6 Domain Modules rõ ràng. Đồng thời thống nhất phải thiết kế ERD chung và Swagger API Contract trước khi code song song.
Decision Ownership: Nhóm tự làm chủ việc phân chia nhiệm vụ thực tế, điều chỉnh khối lượng module cho cân bằng theo năng lực từng thành viên.</t>
  </si>
  <si>
    <t>Thêm module Ngân hàng đề thi (Question Bank) vào hệ thống để Mentor upload đề và Candidate làm bài, nhưng cần chốt ranh giới bảo mật để Candidate không thể tự ý xem kho đề hoặc đáp án trước khi thi.</t>
  </si>
  <si>
    <t>Ngân hàng đề thi (Question Bank) là nơi lưu trữ đề để random giao về cho Candidate làm theo, Mentor là người up đề lên ngân hàng. Hãy tạo các usecase tương ứng, nhớ là Candidate không được truy cập vào kho ngân hàng đề đó, chỉ có thể làm đề được hệ thống random phân phối xuống.</t>
  </si>
  <si>
    <t>AI ban đầu liệt kê usecase cho Candidate được 'Xem ngân hàng đề, lọc đề theo band điểm'. Sau khi được nhắc nhở ràng buộc, AI sửa lại: Question Bank là kho nội bộ chỉ Mentor/Admin truy cập. Candidate chỉ có usecase 'Nhận đề ngẫu nhiên từ hệ thống' và 'Làm đề được phân phối'.</t>
  </si>
  <si>
    <t>Critical Thinking: Phát hiện ngay lỗi logic nghiêm trọng của AI ở phản hồi đầu tiên khi cho phép Candidate xem toàn bộ kho đề thi (gây lộ đề, mất tính công bằng của Mock Test).
Contextualization: Trong hệ thống thi IELTS thật, học viên chỉ nhận đề được giao hoặc hệ thống random ra, tuyệt đối không có quyền duyệt kho đề chung.
Creative Synthesis: Tách bạch rõ ranh giới: Question Bank là vùng riêng (Internal Domain) của Mentor (thêm/sửa đề, upload audio/passage) và Admin (duyệt đề). Candidate chỉ giao tiếp qua Service phân phối đề ngẫu nhiên.
Decision Ownership: Kiên quyết bác bỏ flow cho Candidate duyệt kho đề của AI, tự thiết kế lại sơ đồ Usecase chuẩn nghiệp vụ thi cử.</t>
  </si>
  <si>
    <t>Cần thiết kế logic cho module AI Roadmap Builder (Thành viên 5) gợi ý lộ trình học theo tuần dựa trên band điểm và điểm yếu của học viên mà không bị lỗi AI sinh lộ trình ảo (hallucination) hoặc không khả thi.</t>
  </si>
  <si>
    <t>Thường dựa theo band điểm IELTS hiện tại, band mục tiêu và kỹ năng yếu thì nên đưa lộ trình học theo tuần cho Candidate như thế nào để đảm bảo tính khả thi và không để AI tự nghĩ bừa?</t>
  </si>
  <si>
    <t>AI đồng tình rằng nếu để AI tự do sinh toàn bộ roadmap sẽ cực kỳ dễ vỡ (unstable). AI gợi ý cơ chế hybrid: Xây dựng các rule nền trước trong Database (bảng RoadmapTemplate chia theo band: 3.0-4.5 Foundation, 5.0-6.0 Intermediate, 6.0-7.0 Upper Intermediate) với các tuần/task cố định. AI Service chỉ đóng vai trò lấy band hiện tại, band mục tiêu, điểm yếu để map vào template và cá nhân hóa.</t>
  </si>
  <si>
    <t>Critical Thinking: Nhận thức rõ rủi ro kỹ thuật nếu cho LLM tự sinh lộ trình học theo thời gian thực (độ trễ cao, format JSON dễ lỗi, nội dung thiếu kiểm soát sư phạm).
Contextualization: Phù hợp hoàn hảo với kiến trúc hệ thống 3-tier và Database cấu trúc của đồ án SWP391.
Creative Synthesis: Chốt phương án thiết kế hybrid: Lưu trữ RoadmapTemplate và Lesson/Topic trong cơ sở dữ liệu quan hệ (SQL). Tầng Application Service sẽ query khung lộ trình theo (currentBand, targetBand), sau đó dùng AI để sắp xếp thứ tự ưu tiên các kỹ năng yếu và tạo giải thích chi tiết cho học viên.
Decision Ownership: Quyết định không phụ thuộc 100% vào AI cho việc sinh roadmap, đảm bảo tính ổn định cao nhất cho hệ thống và dễ verify khi test.</t>
  </si>
  <si>
    <t>Cần thiết kế bài kiểm tra đầu vào (Placement Test) để xác định band hiện tại (Current Band) cho Candidate trước khi tạo lộ trình, nhưng phải đảm bảo không quá dài khiến học viên nản chí bỏ dở.</t>
  </si>
  <si>
    <t>Nên thiết kế Placement Test cho hệ thống IELTS như thế nào để đánh giá trình độ ban đầu của người học hiệu quả nhất mà không tốn 3 tiếng như thi thật?</t>
  </si>
  <si>
    <t>AI gợi ý bài test thu gọn (Mini Placement Test 45-60 phút) gồm: Listening (15 câu Part 1 &amp; 2), Reading (15 câu 1 passage), Grammar &amp; Vocabulary (20 câu trắc nghiệm nhanh), và Speaking (1 câu trả lời ngắn ghi âm 2 phút để AI đánh giá fluency cơ bản).</t>
  </si>
  <si>
    <t>Critical Thinking: Đánh giá phương án Mini Placement Test của AI rất khả thi và giải quyết đúng bài toán UX (trải nghiệm người dùng), tránh bắt học viên làm bài full 3 tiếng ngay lần đầu đăng ký.
Contextualization: Phù hợp với module Thành viên 5 (Cá nhân hóa &amp; Lộ trình), cung cấp đầu vào chính xác cho RoadmapTemplate.
Creative Synthesis: Nhóm tinh chỉnh số lượng câu hỏi còn 30 câu trắc nghiệm (Listening/Reading/Grammar) làm trong 30 phút, phần Speaking/Writing để học viên tự chọn làm bổ sung sau trong mục luyện tập chuyên sâu.
Decision Ownership: Tự quyết định cấu trúc và thời lượng Placement Test cân bằng giữa độ chính xác band điểm và sự tiện lợi cho người học.</t>
  </si>
  <si>
    <t>Trước khi 6 thành viên bắt tay vào code song song, toàn đội cần hợp nhất và chốt sơ đồ ERD (Entity Relationship Diagram) để tránh xung đột cấu trúc bảng giữa các module (lỗi tích hợp).</t>
  </si>
  <si>
    <t>Với hệ thống IELTSFlow gồm Candidate, Mentor, Mock Test, Question Bank, AI Feedback và Learning Roadmap, nên xác định các thực thể chính và quan hệ trong database như thế nào để chuẩn hóa 3NF?</t>
  </si>
  <si>
    <t>AI đề xuất các bảng chính: User, Role, QuestionBank, Question, MockTest, MockTestSection, TestAttempt, AttemptAnswer, AIFeedback, RoadmapTemplate, UserRoadmap, LessonProgress, Transaction. AI giải thích các quan hệ 1-N và N-N giữa bài thi, câu hỏi và lịch sử làm bài.</t>
  </si>
  <si>
    <t>Critical Thinking: Phát hiện cấu trúc AI đề xuất còn thiếu bảng lưu trữ file media (Audio/Passage) dùng chung cho nhiều câu hỏi và bảng quản lý gói đăng ký (SubscriptionPackage, UserSubscription).
Contextualization: Đáp ứng yêu cầu chuẩn bị đồ án môn SWP391 (chuẩn hóa 3NF cho relational database trên MySQL/SQL Server).
Creative Synthesis: Nhóm chuẩn hóa lại toàn bộ ERD: bổ sung bảng Passage/AudioResource để tránh lặp lại đoạn văn/bài nghe cho từng câu hỏi con; kết nối rõ ràng bảng UserSubscription với module thanh toán (VNPay).
Decision Ownership: Chốt ERD hoàn chỉnh làm hợp đồng dữ liệu (Data Contract) chính thức cho cả 6 thành viên, nghiêm cấm tự ý sửa đổi schema khi chưa họp nhóm.</t>
  </si>
  <si>
    <t>Cần xây dựng tính năng giám sát cho bài thi Mock Test để mô phỏng tính nghiêm túc và bảo vệ kết quả đánh giá, nhưng cần chọn lọc kỹ thuật khả thi với thời gian đồ án sinh viên.</t>
  </si>
  <si>
    <t>Hệ thống thi trực tuyến thường áp dụng các biện pháp chống gian lận nào và biện pháp nào khả thi nhất cho đồ án web luyện thi IELTS chạy trên trình duyệt?</t>
  </si>
  <si>
    <t>AI liệt kê 5 biện pháp: (1) Giám sát bằng Camera/AI Eye tracking, (2) Phát hiện chuyển tab / rời khỏi màn hình (visibilitychange), (3) Khóa copy/paste (oncopy/onpaste), (4) Trình duyệt an toàn riêng biệt (Safe Exam Browser), (5) Ghi log mọi thao tác click của user.</t>
  </si>
  <si>
    <t>Critical Thinking: Nhận thấy AI Eye tracking bằng camera và Safe Exam Browser là quá sức, không thực tế với đồ án web thông thường (yêu cầu cài đặt app client hoặc xử lý AI video realtime nặng máy).
Contextualization: Trong khuôn khổ SWP391 chạy trên web trình duyệt chuẩn (Chrome/Edge), cần giải pháp nhẹ, hiệu quả ngay tại Frontend Javascript và Backend Session.
Creative Synthesis: Nhóm chốt áp dụng 3 biện pháp thực dụng nhất: Phát hiện sự kiện visibilitychange (nếu rời tab quá 3 lần tự động thu bài hoặc cảnh báo), vô hiệu hóa copy/paste/right-click trên trang làm bài, và lưu state làm bài định kỳ 30 giây (auto-save attempt) xuống database.
Decision Ownership: Tự làm chủ quyết định phạm vi kỹ thuật, gạt bỏ các tính năng giám sát quá xa vời để tập trung vào độ ổn định của luồng thi Mock Test.</t>
  </si>
  <si>
    <t>Nhóm tranh luận có nên dùng Microservices để chia cho 6 người không hay dùng Monolith, cần phân tích kỹ thuật và quyết định kiến trúc triển khai cho đồ án SWP391.</t>
  </si>
  <si>
    <t>Với đồ án sinh viên khoảng 6 thành viên phát triển hệ thống IELTSFlow trong 10 tuần, nên sử dụng kiến trúc Monolithic hay Microservices? Ưu nhược điểm cụ thể cho team sinh viên là gì?</t>
  </si>
  <si>
    <t>AI phân tích: Microservices giúp độc lập deploy nhưng có chi phí quản trị hạ tầng (DevOps/Docker/API Gateway) khổng lồ, dễ gãy giao tiếp inter-service trong 10 tuần. Monolith dễ setup nhưng dễ bị spaghetti code. AI khuyên chọn Modular Monolith (Một ứng dụng chạy chung nhưng code được chia tách nghiêm ngặt theo Package/Domain riêng biệt cho từng người).</t>
  </si>
  <si>
    <t>Critical Thinking: Đồng tình tuyệt đối với phân tích thực tế của AI. Nhận thấy nếu chọn Microservices chỉ để 'làm màu' thì nhóm sẽ mất 50% thời gian cấu hình DevOps thay vì viết code nghiệp vụ.
Contextualization: Môn SWP391 đánh giá cao sự hiểu biết về kiến trúc sạch (Clean Architecture) và quản lý source code tốt trên Git hơn là hạ tầng phân tán phức tạp không cần thiết.
Creative Synthesis: Nhóm chốt kiến trúc Modular Monolith trên nền tảng Jakarta EE / Spring / Java 3-Tier: Tổ chức package theo domain (com.ieltsflow.auth, com.ieltsflow.content, com.ieltsflow.mocktest, com.ieltsflow.ai, v.v.), giao tiếp giữa các module thông qua Service Interfaces nội bộ.
Decision Ownership: Nhóm nhất trí chốt phương án kiến trúc Modular Monolith làm kim chỉ nam phát triển cho suốt 10 tuần đồ án.</t>
  </si>
  <si>
    <t>Logic Error &amp; Context Misunderstanding</t>
  </si>
  <si>
    <t>Khi được hỏi thêm Ngân hàng đề thi cho hệ thống, AI ban đầu đề xuất Usecase cho Candidate được 'Xem ngân hàng đề, lọc đề theo band điểm, làm đề từ ngân hàng đề'.</t>
  </si>
  <si>
    <t>Sai lệch hoàn toàn với quy chế thi cử và nghiệp vụ IELTSFlow. Question Bank là kho đề thi nội bộ của Mentor và Admin. Nếu Candidate truy cập được kho đề, họ có thể xem trước toàn bộ đề thi và đáp án, làm mất tính bảo mật và công bằng của Mock Test.</t>
  </si>
  <si>
    <t>Kiểm tra chéo sơ đồ Usecase với yêu cầu phân quyền bảo mật nghiệp vụ thi (Domain boundary inspection).</t>
  </si>
  <si>
    <t>Phản biện và yêu cầu AI chỉnh lại ngay: Candidate tuyệt đối không được truy cập Question Bank. Candidate chỉ có Usecase 'Nhận đề ngẫu nhiên từ hệ thống' và 'Làm đề được phân phối'.</t>
  </si>
  <si>
    <t>Oversimplification &amp; Hallucination</t>
  </si>
  <si>
    <t>AI gợi ý có thể để LLM (AI Service) tự động sinh toàn bộ lộ trình học chi tiết từng ngày/tuần dưới dạng JSON động 100% khi học viên hoàn thành Placement Test.</t>
  </si>
  <si>
    <t>LLM sinh dữ liệu cấu trúc động rất dễ bị ảo giác (chỉ định bài học/ID không tồn tại trong database LMS), tốc độ phản hồi chậm (15-30s) và thiếu tính nhất quán sư phạm giữa các học viên cùng trình độ.</t>
  </si>
  <si>
    <t>Phân tích tính khả thi kỹ thuật và thử nghiệm sinh JSON với các edge cases (bảng bài giảng trống hoặc ID bị thay đổi).</t>
  </si>
  <si>
    <t>Bác bỏ phương án sinh lộ trình động 100%. Áp dụng kiến trúc Hybrid: Khung lộ trình chuẩn (RoadmapTemplate) được thiết kế bởi chuyên gia và lưu cố định trong SQL Database. AI chỉ lấy Current Band + Weak Skills để query template và cá nhân hóa thứ tự học.</t>
  </si>
  <si>
    <t>Oversimplification &amp; Feasibility Error</t>
  </si>
  <si>
    <t>AI đề xuất tích hợp giải pháp giám sát gian lận thi cử bằng AI Eye tracking qua Webcam/Camera và trình duyệt Safe Exam Browser cho đồ án web SWP391.</t>
  </si>
  <si>
    <t>Không khả thi với nguồn lực 10 tuần của nhóm sinh viên. Xử lý video realtime qua WebRTC/AI đòi hỏi server GPU mạnh hoặc client app riêng biệt, vượt quá phạm vi một ứng dụng web tiêu chuẩn và dễ gây lỗi trình duyệt.</t>
  </si>
  <si>
    <t>Đánh giá ràng buộc kỹ thuật, thời gian phát triển và hạ tầng server của môn học SWP391.</t>
  </si>
  <si>
    <t>Loại bỏ Eye tracking và Safe Exam Browser. Tập trung triển khai các biện pháp thực dụng và hiệu quả cao trên trình duyệt: kiểm soát sự kiện visibilitychange (chuyển tab/rời màn hình), chặn copy/paste và auto-save định kỳ 30s.</t>
  </si>
  <si>
    <t>100% (7/7) các prompts được log (kiến trúc 6 Domain Modules, bảo mật ranh giới Question Bank, thuật toán hybrid AI Roadmap Builder, Mini Placement Test tối ưu UX, ERD chuẩn 3NF, giám sát chuyển tab chống gian lận, quyết định kiến trúc Modular Monolith) đều ảnh hưởng trực tiếp đến kiến trúc, luồng nghiệp vụ và phân chia khối lượng cốt lõi của đồ án.</t>
  </si>
  <si>
    <t>Có. Ví dụ: Nếu không phản biện ở Entry #002, học viên đã tự ý truy cập được Question Bank làm mất công bằng Mock Test; nếu không dùng mô hình Hybrid ở Entry #003, hệ thống đã bị ảo giác ID bài học; hoặc nếu chọn Microservices ở Entry #007, nhóm đã vỡ kế hoạch 10 tuần vì chi phí DevOps quá lớn.</t>
  </si>
  <si>
    <t>Tất cả 7 entries đều ghi rõ lập luận chọn lọc trong phần Human Delta (Critical Thinking &amp; Creative Synthesis): chỉ chấp nhận gợi ý phù hợp với nguồn lực 10 tuần và trình độ sinh viên SWP391, đồng thời bác bỏ các đề xuất sai lệch (như cho Candidate xem kho đề thi ở Entry #002 hay dùng Eye tracking webcam nặng nề ở Entry #006).</t>
  </si>
  <si>
    <t>Đầy đủ minh chứng cụ thể cho từng entry (Sơ đồ phân rã 6 Domain Modules, Usecase Question Bank đã chỉnh sửa, Schema ERD chuẩn 3NF, cấu trúc Mini Placement Test, và code JS/Backend xử lý anti-cheating auto-save).</t>
  </si>
  <si>
    <t>Không entry nào copy thô từ AI. Nhóm chủ động điều chỉnh scope và phân chia 6 module cân bằng theo năng lực, tự thiết kế thuật toán query lộ trình theo band, và tự làm chủ quyết định kiến trúc Modular Monolith (Decision Ownership).</t>
  </si>
  <si>
    <t>7 entries core prompts (Đạt chuẩn yêu cầu của Week 2, ghi nhận đầy đủ các quyết định kiến trúc, phân rã module, thiết kế ERD và cơ chế giám sát).</t>
  </si>
  <si>
    <t>Đầy đủ 4 components: Decomposition (Entries #001, #002, #005), Pattern Recognition (Entry #007), Abstraction (Entries #003, #004), Algorithms (Entry #006).</t>
  </si>
  <si>
    <t>Đã phát hiện và ghi nhận 3 cases hallucination/lỗi logic quan trọng của AI trong Sheet 3: Entry #002 (AI cho Candidate xem kho đề), Entry #003 (AI sinh lộ trình ảo), Entry #006 (AI đề xuất Eye tracking không khả thi).</t>
  </si>
  <si>
    <t>100% (7/7 entries) có đính kèm minh chứng rõ ràng (Sơ đồ kiến trúc 6 modules, ERD 3NF, thiết kế Mini Placement Test, và code xử lý anti-cheating).</t>
  </si>
  <si>
    <t>Chọn kiến trúc 6 Domain Modules (Modular Monolith) để 6 thành viên làm việc song song, không dẫm chân lên nhau. Đánh giá đúng khối lượng: Thành viên 4 (AI Speaking/Writing) nặng nhất cần người giỏi kỹ thuật, Thành viên 1 (Core/Auth) nhẹ hơn.</t>
  </si>
  <si>
    <t>AI đề xuất chia 6 module và xếp hạng độ khó từ dễ nhất (Thành viên 1: 4.5/10) đến khó nhất (Thành viên 4: 9.5/10).</t>
  </si>
  <si>
    <t>Có (Sơ đồ phân rã 6 Domain Modules, Bảng phân công nhiệm vụ cho 6 thành viên và Swagger API Contract).</t>
  </si>
  <si>
    <t>Bác bỏ flow cho Candidate truy cập kho đề thi của AI. Tách bạch rõ ranh giới: Question Bank là kho nội bộ của Mentor (thêm/sửa đề) và Admin (duyệt đề). Candidate chỉ giao tiếp qua Service phân phối đề ngẫu nhiên từ hệ thống.</t>
  </si>
  <si>
    <t>AI ban đầu cho Candidate xem ngân hàng đề, sau đó sửa thành Question Bank chỉ dành cho Mentor/Admin, Candidate làm đề được random phân phối.</t>
  </si>
  <si>
    <t>Có (Sơ đồ Usecase đã cập nhật tách biệt quyền truy cập Question Bank giữa Candidate và Mentor/Admin).</t>
  </si>
  <si>
    <t>Không cho AI sinh động 100% lộ trình học theo thời gian thực vì dễ ảo giác ID bài học và chậm. Dùng mô hình Hybrid: Khung lộ trình chuẩn (RoadmapTemplate) lưu trong SQL Database, AI chỉ lấy điểm yếu và mục tiêu để query và cá nhân hóa.</t>
  </si>
  <si>
    <t>AI đồng tình rủi ro hallucination và đề xuất dùng RoadmapTemplate trong DB chia theo band (3.0-4.5, 5.0-6.0, 6.0-7.0) rồi để AI map vào.</t>
  </si>
  <si>
    <t>Có (Schema bảng RoadmapTemplate trong ERD và thuật toán query theo currentBand + targetBand kết hợp AI prompt).</t>
  </si>
  <si>
    <t>Áp dụng Mini Placement Test (30 phút với 30 câu trắc nghiệm Listening/Reading/Grammar) thay vì bài test full 3 tiếng để tránh làm người học nản chí ngay lần đầu đăng ký, phần Speaking/Writing làm bổ sung trong mục luyện tập.</t>
  </si>
  <si>
    <t>AI đề xuất Mini Placement Test 45-60 phút gồm 15 câu Listening, 15 câu Reading, 20 câu Grammar/Vocab và 1 câu Speaking 2 phút.</t>
  </si>
  <si>
    <t>Có (Tài liệu thiết kế cấu trúc Mini Placement Test và luồng chuyển hướng tự động sang AI Roadmap Builder).</t>
  </si>
  <si>
    <t>Hợp nhất ERD chung trước khi code song song. Chuẩn hóa 3NF: Bổ sung bảng Passage/AudioResource dùng chung cho nhiều câu hỏi con, kết nối bảng UserSubscription với module thanh toán VNPay để kiểm soát gói thành viên.</t>
  </si>
  <si>
    <t>AI liệt kê ~13 bảng chính: User, Role, QuestionBank, Question, MockTest, MockTestSection, TestAttempt, AttemptAnswer, AIFeedback, RoadmapTemplate, UserRoadmap, LessonProgress, Transaction.</t>
  </si>
  <si>
    <t>Có (Sơ đồ ERD hoàn chỉnh đạt chuẩn 3NF được toàn bộ 6 thành viên ký duyệt làm hợp đồng dữ liệu chung).</t>
  </si>
  <si>
    <t>Loại bỏ đề xuất AI Eye tracking qua Webcam và Safe Exam Browser của AI vì vượt quá nguồn lực 10 tuần và gây nặng trình duyệt. Chốt 3 biện pháp thực dụng: giám sát chuyển tab (visibilitychange), chặn copy/paste và auto-save định kỳ 30s.</t>
  </si>
  <si>
    <t>AI đề xuất 5 biện pháp chống gian lận: Camera monitoring, tab switching detection, khóa copy/paste, Safe Exam Browser và activity logging.</t>
  </si>
  <si>
    <t>Có (Đoạn code Javascript xử lý sự kiện visibilitychange, oncopy/onpaste và API auto-save session phía Backend).</t>
  </si>
  <si>
    <t>Chọn kiến trúc Modular Monolith thay vì Microservices để nhóm 6 sinh viên tập trung tối đa vào viết code nghiệp vụ clean architecture thay vì mất 50% thời gian cấu hình DevOps/Docker/API Gateway phức tạp trong 10 tuần.</t>
  </si>
  <si>
    <t>AI phân tích chi tiết ưu nhược điểm Microservices vs Monolith cho sinh viên và khuyên chọn Modular Monolith chia package theo domain.</t>
  </si>
  <si>
    <t>Có (Tài liệu kiến trúc hệ thống và cấu trúc package source code Git chia theo 6 domain rõ ràng).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</si>
</sst>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rgb="FFCCCCCC"/>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vertical="center" wrapText="1"/>
    </xf>
    <xf numFmtId="0" fontId="0" fillId="0" borderId="3" xfId="0" applyBorder="1" applyAlignment="1">
      <alignment vertical="center" wrapText="1"/>
    </xf>
    <xf numFmtId="0" fontId="9" fillId="0" borderId="1" xfId="0" applyFont="1" applyBorder="1" applyAlignment="1">
      <alignment horizontal="left"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zoomScale="85" workbookViewId="0">
      <selection activeCell="C28" sqref="C28"/>
    </sheetView>
  </sheetViews>
  <sheetFormatPr defaultRowHeight="14.4" x14ac:dyDescent="0.3"/>
  <cols>
    <col min="1" max="1" width="60.21875" bestFit="1" customWidth="1"/>
    <col min="2" max="2" width="39" bestFit="1" customWidth="1"/>
    <col min="3" max="3" width="61.6640625" bestFit="1" customWidth="1"/>
    <col min="4" max="4" width="28.88671875" bestFit="1" customWidth="1"/>
    <col min="5" max="5" width="14.21875" bestFit="1" customWidth="1"/>
    <col min="6" max="6" width="20" customWidth="1"/>
  </cols>
  <sheetData>
    <row r="1" spans="1:6" x14ac:dyDescent="0.3">
      <c r="A1" s="22" t="s">
        <v>102</v>
      </c>
      <c r="B1" s="23"/>
      <c r="C1" s="23"/>
      <c r="D1" s="23"/>
      <c r="E1" s="23"/>
      <c r="F1" s="23"/>
    </row>
    <row r="3" spans="1:6" ht="18" x14ac:dyDescent="0.35">
      <c r="A3" s="1" t="s">
        <v>0</v>
      </c>
    </row>
    <row r="4" spans="1:6" x14ac:dyDescent="0.3">
      <c r="A4" s="2" t="s">
        <v>1</v>
      </c>
      <c r="C4" t="s">
        <v>97</v>
      </c>
    </row>
    <row r="5" spans="1:6" x14ac:dyDescent="0.3">
      <c r="A5" s="2" t="s">
        <v>2</v>
      </c>
      <c r="C5" t="s">
        <v>98</v>
      </c>
    </row>
    <row r="6" spans="1:6" x14ac:dyDescent="0.3">
      <c r="A6" s="2" t="s">
        <v>3</v>
      </c>
      <c r="C6" t="s">
        <v>99</v>
      </c>
    </row>
    <row r="7" spans="1:6" x14ac:dyDescent="0.3">
      <c r="A7" s="2" t="s">
        <v>4</v>
      </c>
      <c r="C7" t="s">
        <v>103</v>
      </c>
    </row>
    <row r="9" spans="1:6" ht="18" x14ac:dyDescent="0.35">
      <c r="A9" s="1" t="s">
        <v>5</v>
      </c>
    </row>
    <row r="10" spans="1:6" x14ac:dyDescent="0.3">
      <c r="A10" s="2" t="s">
        <v>6</v>
      </c>
      <c r="C10" t="s">
        <v>104</v>
      </c>
    </row>
    <row r="11" spans="1:6" x14ac:dyDescent="0.3">
      <c r="A11" s="2" t="s">
        <v>7</v>
      </c>
      <c r="C11" s="3">
        <v>7</v>
      </c>
    </row>
    <row r="12" spans="1:6" x14ac:dyDescent="0.3">
      <c r="A12" s="2" t="s">
        <v>8</v>
      </c>
      <c r="C12" s="4" t="e">
        <f>C11/C10</f>
        <v>#VALUE!</v>
      </c>
      <c r="E12" s="5" t="s">
        <v>9</v>
      </c>
    </row>
    <row r="13" spans="1:6" x14ac:dyDescent="0.3">
      <c r="A13" s="2" t="s">
        <v>10</v>
      </c>
      <c r="C13" s="3">
        <v>3</v>
      </c>
    </row>
    <row r="15" spans="1:6" ht="18" x14ac:dyDescent="0.35">
      <c r="A15" s="1" t="s">
        <v>11</v>
      </c>
    </row>
    <row r="16" spans="1:6" x14ac:dyDescent="0.3">
      <c r="A16" s="6" t="s">
        <v>12</v>
      </c>
      <c r="B16" s="6" t="s">
        <v>13</v>
      </c>
      <c r="C16" s="6" t="s">
        <v>14</v>
      </c>
      <c r="D16" s="6" t="s">
        <v>15</v>
      </c>
    </row>
    <row r="17" spans="1:4" ht="28.8" x14ac:dyDescent="0.3">
      <c r="A17" s="7" t="s">
        <v>105</v>
      </c>
      <c r="B17" s="7" t="s">
        <v>106</v>
      </c>
      <c r="C17" s="7" t="s">
        <v>16</v>
      </c>
      <c r="D17" s="7" t="s">
        <v>107</v>
      </c>
    </row>
    <row r="18" spans="1:4" ht="28.8" x14ac:dyDescent="0.3">
      <c r="A18" s="7" t="s">
        <v>108</v>
      </c>
      <c r="B18" s="7" t="s">
        <v>109</v>
      </c>
      <c r="C18" s="7" t="s">
        <v>17</v>
      </c>
      <c r="D18" s="7" t="s">
        <v>110</v>
      </c>
    </row>
    <row r="19" spans="1:4" x14ac:dyDescent="0.3">
      <c r="A19" s="7"/>
      <c r="B19" s="7"/>
      <c r="C19" s="7"/>
      <c r="D19" s="7"/>
    </row>
    <row r="20" spans="1:4" x14ac:dyDescent="0.3">
      <c r="A20" s="7"/>
      <c r="B20" s="7"/>
      <c r="C20" s="7"/>
      <c r="D20" s="7"/>
    </row>
    <row r="22" spans="1:4" ht="18" x14ac:dyDescent="0.35">
      <c r="A22" s="1" t="s">
        <v>18</v>
      </c>
    </row>
    <row r="23" spans="1:4" x14ac:dyDescent="0.3">
      <c r="A23" s="6" t="s">
        <v>19</v>
      </c>
      <c r="B23" s="6" t="s">
        <v>20</v>
      </c>
      <c r="C23" s="6" t="s">
        <v>21</v>
      </c>
    </row>
    <row r="24" spans="1:4" x14ac:dyDescent="0.3">
      <c r="A24" s="7" t="s">
        <v>22</v>
      </c>
      <c r="B24" s="8">
        <v>3</v>
      </c>
      <c r="C24" s="9" t="s">
        <v>23</v>
      </c>
    </row>
    <row r="25" spans="1:4" x14ac:dyDescent="0.3">
      <c r="A25" s="7" t="s">
        <v>24</v>
      </c>
      <c r="B25" s="8">
        <v>1</v>
      </c>
      <c r="C25" s="9" t="s">
        <v>23</v>
      </c>
    </row>
    <row r="26" spans="1:4" x14ac:dyDescent="0.3">
      <c r="A26" s="7" t="s">
        <v>25</v>
      </c>
      <c r="B26" s="8">
        <v>2</v>
      </c>
      <c r="C26" s="9" t="s">
        <v>23</v>
      </c>
    </row>
    <row r="27" spans="1:4" x14ac:dyDescent="0.3">
      <c r="A27" s="7" t="s">
        <v>26</v>
      </c>
      <c r="B27" s="8">
        <v>1</v>
      </c>
      <c r="C27" s="9" t="s">
        <v>23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tabSelected="1" topLeftCell="E4" workbookViewId="0">
      <selection activeCell="F6" sqref="F6"/>
    </sheetView>
  </sheetViews>
  <sheetFormatPr defaultRowHeight="14.4" x14ac:dyDescent="0.3"/>
  <cols>
    <col min="1" max="1" width="8.77734375" customWidth="1"/>
    <col min="2" max="2" width="18.77734375" customWidth="1"/>
    <col min="3" max="3" width="22.77734375" customWidth="1"/>
    <col min="4" max="4" width="36.77734375" customWidth="1"/>
    <col min="5" max="6" width="45.77734375" customWidth="1"/>
    <col min="7" max="7" width="55.77734375" customWidth="1"/>
  </cols>
  <sheetData>
    <row r="1" spans="1:7" x14ac:dyDescent="0.3">
      <c r="A1" s="22" t="s">
        <v>27</v>
      </c>
      <c r="B1" s="23"/>
      <c r="C1" s="23"/>
      <c r="D1" s="23"/>
      <c r="E1" s="23"/>
      <c r="F1" s="23"/>
      <c r="G1" s="23"/>
    </row>
    <row r="2" spans="1:7" ht="30" customHeight="1" x14ac:dyDescent="0.3">
      <c r="A2" s="24"/>
      <c r="B2" s="23"/>
      <c r="C2" s="23"/>
      <c r="D2" s="23"/>
      <c r="E2" s="23"/>
      <c r="F2" s="23"/>
      <c r="G2" s="23"/>
    </row>
    <row r="3" spans="1:7" ht="40.049999999999997" customHeight="1" x14ac:dyDescent="0.3">
      <c r="A3" s="6" t="s">
        <v>28</v>
      </c>
      <c r="B3" s="6" t="s">
        <v>29</v>
      </c>
      <c r="C3" s="6" t="s">
        <v>30</v>
      </c>
      <c r="D3" s="6" t="s">
        <v>31</v>
      </c>
      <c r="E3" s="6" t="s">
        <v>32</v>
      </c>
      <c r="F3" s="6" t="s">
        <v>33</v>
      </c>
      <c r="G3" s="6" t="s">
        <v>34</v>
      </c>
    </row>
    <row r="4" spans="1:7" ht="136.80000000000001" customHeight="1" x14ac:dyDescent="0.3">
      <c r="A4" s="18">
        <v>1</v>
      </c>
      <c r="B4" s="18" t="s">
        <v>35</v>
      </c>
      <c r="C4" s="18" t="s">
        <v>22</v>
      </c>
      <c r="D4" s="18" t="s">
        <v>111</v>
      </c>
      <c r="E4" s="18" t="s">
        <v>112</v>
      </c>
      <c r="F4" s="18" t="s">
        <v>113</v>
      </c>
      <c r="G4" s="18" t="s">
        <v>114</v>
      </c>
    </row>
    <row r="5" spans="1:7" ht="154.80000000000001" customHeight="1" x14ac:dyDescent="0.3">
      <c r="A5" s="18">
        <v>2</v>
      </c>
      <c r="B5" s="18" t="s">
        <v>36</v>
      </c>
      <c r="C5" s="18" t="s">
        <v>22</v>
      </c>
      <c r="D5" s="18" t="s">
        <v>115</v>
      </c>
      <c r="E5" s="18" t="s">
        <v>116</v>
      </c>
      <c r="F5" s="18" t="s">
        <v>117</v>
      </c>
      <c r="G5" s="18" t="s">
        <v>118</v>
      </c>
    </row>
    <row r="6" spans="1:7" ht="150" customHeight="1" x14ac:dyDescent="0.3">
      <c r="A6" s="18">
        <v>3</v>
      </c>
      <c r="B6" s="18" t="s">
        <v>35</v>
      </c>
      <c r="C6" s="18" t="s">
        <v>25</v>
      </c>
      <c r="D6" s="18" t="s">
        <v>119</v>
      </c>
      <c r="E6" s="18" t="s">
        <v>120</v>
      </c>
      <c r="F6" s="18" t="s">
        <v>121</v>
      </c>
      <c r="G6" s="18" t="s">
        <v>122</v>
      </c>
    </row>
    <row r="7" spans="1:7" ht="165.6" customHeight="1" x14ac:dyDescent="0.3">
      <c r="A7" s="18">
        <v>4</v>
      </c>
      <c r="B7" s="18" t="s">
        <v>36</v>
      </c>
      <c r="C7" s="18" t="s">
        <v>25</v>
      </c>
      <c r="D7" s="18" t="s">
        <v>123</v>
      </c>
      <c r="E7" s="18" t="s">
        <v>124</v>
      </c>
      <c r="F7" s="18" t="s">
        <v>125</v>
      </c>
      <c r="G7" s="18" t="s">
        <v>126</v>
      </c>
    </row>
    <row r="8" spans="1:7" ht="170.4" customHeight="1" x14ac:dyDescent="0.3">
      <c r="A8" s="18">
        <v>5</v>
      </c>
      <c r="B8" s="18" t="s">
        <v>37</v>
      </c>
      <c r="C8" s="18" t="s">
        <v>22</v>
      </c>
      <c r="D8" s="18" t="s">
        <v>127</v>
      </c>
      <c r="E8" s="18" t="s">
        <v>128</v>
      </c>
      <c r="F8" s="18" t="s">
        <v>129</v>
      </c>
      <c r="G8" s="18" t="s">
        <v>130</v>
      </c>
    </row>
    <row r="9" spans="1:7" ht="148.19999999999999" customHeight="1" x14ac:dyDescent="0.3">
      <c r="A9" s="18">
        <v>6</v>
      </c>
      <c r="B9" s="18" t="s">
        <v>36</v>
      </c>
      <c r="C9" s="18" t="s">
        <v>26</v>
      </c>
      <c r="D9" s="18" t="s">
        <v>131</v>
      </c>
      <c r="E9" s="18" t="s">
        <v>132</v>
      </c>
      <c r="F9" s="18" t="s">
        <v>133</v>
      </c>
      <c r="G9" s="18" t="s">
        <v>134</v>
      </c>
    </row>
    <row r="10" spans="1:7" ht="174" customHeight="1" x14ac:dyDescent="0.3">
      <c r="A10" s="18">
        <v>7</v>
      </c>
      <c r="B10" s="18" t="s">
        <v>35</v>
      </c>
      <c r="C10" s="18" t="s">
        <v>24</v>
      </c>
      <c r="D10" s="18" t="s">
        <v>135</v>
      </c>
      <c r="E10" s="18" t="s">
        <v>136</v>
      </c>
      <c r="F10" s="18" t="s">
        <v>137</v>
      </c>
      <c r="G10" s="18" t="s">
        <v>138</v>
      </c>
    </row>
    <row r="11" spans="1:7" ht="79.95" customHeight="1" x14ac:dyDescent="0.3">
      <c r="A11" s="7"/>
      <c r="B11" s="7"/>
      <c r="C11" s="7"/>
      <c r="D11" s="7"/>
      <c r="E11" s="7"/>
      <c r="F11" s="7"/>
      <c r="G11" s="7"/>
    </row>
    <row r="12" spans="1:7" ht="79.95" customHeight="1" x14ac:dyDescent="0.3">
      <c r="A12" s="7"/>
      <c r="B12" s="7"/>
      <c r="C12" s="7"/>
      <c r="D12" s="7"/>
      <c r="E12" s="7"/>
      <c r="F12" s="7"/>
      <c r="G12" s="7"/>
    </row>
    <row r="13" spans="1:7" ht="79.95" customHeight="1" x14ac:dyDescent="0.3">
      <c r="A13" s="7"/>
      <c r="B13" s="7"/>
      <c r="C13" s="7"/>
      <c r="D13" s="7"/>
      <c r="E13" s="7"/>
      <c r="F13" s="7"/>
      <c r="G13" s="7"/>
    </row>
    <row r="14" spans="1:7" ht="79.95" customHeight="1" x14ac:dyDescent="0.3">
      <c r="A14" s="7"/>
      <c r="B14" s="7"/>
      <c r="C14" s="7"/>
      <c r="D14" s="7"/>
      <c r="E14" s="7"/>
      <c r="F14" s="7"/>
      <c r="G14" s="7"/>
    </row>
    <row r="15" spans="1:7" ht="79.95" customHeight="1" x14ac:dyDescent="0.3">
      <c r="A15" s="7"/>
      <c r="B15" s="7"/>
      <c r="C15" s="7"/>
      <c r="D15" s="7"/>
      <c r="E15" s="7"/>
      <c r="F15" s="7"/>
      <c r="G15" s="7"/>
    </row>
    <row r="16" spans="1:7" ht="79.95" customHeight="1" x14ac:dyDescent="0.3">
      <c r="A16" s="7"/>
      <c r="B16" s="7"/>
      <c r="C16" s="7"/>
      <c r="D16" s="7"/>
      <c r="E16" s="7"/>
      <c r="F16" s="7"/>
      <c r="G16" s="7"/>
    </row>
    <row r="17" spans="1:7" ht="79.95" customHeight="1" x14ac:dyDescent="0.3">
      <c r="A17" s="7"/>
      <c r="B17" s="7"/>
      <c r="C17" s="7"/>
      <c r="D17" s="7"/>
      <c r="E17" s="7"/>
      <c r="F17" s="7"/>
      <c r="G17" s="7"/>
    </row>
    <row r="18" spans="1:7" ht="79.95" customHeight="1" x14ac:dyDescent="0.3">
      <c r="A18" s="7"/>
      <c r="B18" s="7"/>
      <c r="C18" s="7"/>
      <c r="D18" s="7"/>
      <c r="E18" s="7"/>
      <c r="F18" s="7"/>
      <c r="G18" s="7"/>
    </row>
    <row r="19" spans="1:7" ht="79.95" customHeight="1" x14ac:dyDescent="0.3">
      <c r="A19" s="7"/>
      <c r="B19" s="7"/>
      <c r="C19" s="7"/>
      <c r="D19" s="7"/>
      <c r="E19" s="7"/>
      <c r="F19" s="7"/>
      <c r="G19" s="7"/>
    </row>
    <row r="20" spans="1:7" ht="79.95" customHeight="1" x14ac:dyDescent="0.3">
      <c r="A20" s="7"/>
      <c r="B20" s="7"/>
      <c r="C20" s="7"/>
      <c r="D20" s="7"/>
      <c r="E20" s="7"/>
      <c r="F20" s="7"/>
      <c r="G20" s="7"/>
    </row>
    <row r="21" spans="1:7" ht="79.95" customHeight="1" x14ac:dyDescent="0.3">
      <c r="A21" s="7"/>
      <c r="B21" s="7"/>
      <c r="C21" s="7"/>
      <c r="D21" s="7"/>
      <c r="E21" s="7"/>
      <c r="F21" s="7"/>
      <c r="G21" s="7"/>
    </row>
    <row r="22" spans="1:7" ht="79.95" customHeight="1" x14ac:dyDescent="0.3">
      <c r="A22" s="7"/>
      <c r="B22" s="7"/>
      <c r="C22" s="7"/>
      <c r="D22" s="7"/>
      <c r="E22" s="7"/>
      <c r="F22" s="7"/>
      <c r="G22" s="7"/>
    </row>
    <row r="23" spans="1:7" ht="79.95" customHeight="1" x14ac:dyDescent="0.3">
      <c r="A23" s="7"/>
      <c r="B23" s="7"/>
      <c r="C23" s="7"/>
      <c r="D23" s="7"/>
      <c r="E23" s="7"/>
      <c r="F23" s="7"/>
      <c r="G23" s="7"/>
    </row>
    <row r="24" spans="1:7" ht="79.95" customHeight="1" x14ac:dyDescent="0.3">
      <c r="A24" s="7"/>
      <c r="B24" s="7"/>
      <c r="C24" s="7"/>
      <c r="D24" s="7"/>
      <c r="E24" s="7"/>
      <c r="F24" s="7"/>
      <c r="G24" s="7"/>
    </row>
    <row r="25" spans="1:7" ht="79.95" customHeight="1" x14ac:dyDescent="0.3">
      <c r="A25" s="7"/>
      <c r="B25" s="7"/>
      <c r="C25" s="7"/>
      <c r="D25" s="7"/>
      <c r="E25" s="7"/>
      <c r="F25" s="7"/>
      <c r="G25" s="7"/>
    </row>
    <row r="26" spans="1:7" ht="79.95" customHeight="1" x14ac:dyDescent="0.3">
      <c r="A26" s="7"/>
      <c r="B26" s="7"/>
      <c r="C26" s="7"/>
      <c r="D26" s="7"/>
      <c r="E26" s="7"/>
      <c r="F26" s="7"/>
      <c r="G26" s="7"/>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sqref="A1:F1"/>
    </sheetView>
  </sheetViews>
  <sheetFormatPr defaultRowHeight="14.4" x14ac:dyDescent="0.3"/>
  <cols>
    <col min="1" max="1" width="10.77734375" customWidth="1"/>
    <col min="2" max="2" width="28.77734375" customWidth="1"/>
    <col min="3" max="3" width="40.77734375" customWidth="1"/>
    <col min="4" max="4" width="45.77734375" customWidth="1"/>
    <col min="5" max="5" width="35.77734375" customWidth="1"/>
    <col min="6" max="6" width="45.77734375" customWidth="1"/>
  </cols>
  <sheetData>
    <row r="1" spans="1:6" x14ac:dyDescent="0.3">
      <c r="A1" s="26" t="s">
        <v>38</v>
      </c>
      <c r="B1" s="23"/>
      <c r="C1" s="23"/>
      <c r="D1" s="23"/>
      <c r="E1" s="23"/>
      <c r="F1" s="23"/>
    </row>
    <row r="2" spans="1:6" x14ac:dyDescent="0.3">
      <c r="A2" s="25" t="s">
        <v>39</v>
      </c>
      <c r="B2" s="23"/>
      <c r="C2" s="23"/>
      <c r="D2" s="23"/>
      <c r="E2" s="23"/>
      <c r="F2" s="23"/>
    </row>
    <row r="3" spans="1:6" ht="40.049999999999997" customHeight="1" x14ac:dyDescent="0.3">
      <c r="A3" s="6" t="s">
        <v>40</v>
      </c>
      <c r="B3" s="6" t="s">
        <v>41</v>
      </c>
      <c r="C3" s="6" t="s">
        <v>42</v>
      </c>
      <c r="D3" s="6" t="s">
        <v>43</v>
      </c>
      <c r="E3" s="6" t="s">
        <v>44</v>
      </c>
      <c r="F3" s="6" t="s">
        <v>45</v>
      </c>
    </row>
    <row r="4" spans="1:6" ht="60" customHeight="1" x14ac:dyDescent="0.3">
      <c r="A4" s="18">
        <v>2</v>
      </c>
      <c r="B4" s="18" t="s">
        <v>139</v>
      </c>
      <c r="C4" s="18" t="s">
        <v>140</v>
      </c>
      <c r="D4" s="18" t="s">
        <v>141</v>
      </c>
      <c r="E4" s="18" t="s">
        <v>142</v>
      </c>
      <c r="F4" s="18" t="s">
        <v>143</v>
      </c>
    </row>
    <row r="5" spans="1:6" ht="86.4" x14ac:dyDescent="0.3">
      <c r="A5" s="18">
        <v>3</v>
      </c>
      <c r="B5" s="18" t="s">
        <v>144</v>
      </c>
      <c r="C5" s="18" t="s">
        <v>145</v>
      </c>
      <c r="D5" s="18" t="s">
        <v>146</v>
      </c>
      <c r="E5" s="18" t="s">
        <v>147</v>
      </c>
      <c r="F5" s="18" t="s">
        <v>148</v>
      </c>
    </row>
    <row r="6" spans="1:6" ht="60" customHeight="1" x14ac:dyDescent="0.3">
      <c r="A6" s="18">
        <v>6</v>
      </c>
      <c r="B6" s="18" t="s">
        <v>149</v>
      </c>
      <c r="C6" s="18" t="s">
        <v>150</v>
      </c>
      <c r="D6" s="18" t="s">
        <v>151</v>
      </c>
      <c r="E6" s="18" t="s">
        <v>152</v>
      </c>
      <c r="F6" s="18" t="s">
        <v>153</v>
      </c>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x14ac:dyDescent="0.35">
      <c r="A30" s="1" t="s">
        <v>47</v>
      </c>
    </row>
    <row r="31" spans="1:6" x14ac:dyDescent="0.3">
      <c r="A31" s="10" t="s">
        <v>48</v>
      </c>
      <c r="B31" s="10" t="s">
        <v>49</v>
      </c>
      <c r="C31" s="10" t="s">
        <v>50</v>
      </c>
    </row>
    <row r="32" spans="1:6" x14ac:dyDescent="0.3">
      <c r="A32" s="7" t="s">
        <v>46</v>
      </c>
      <c r="B32" s="7" t="s">
        <v>51</v>
      </c>
      <c r="C32" s="7" t="s">
        <v>52</v>
      </c>
    </row>
    <row r="33" spans="1:3" ht="28.8" x14ac:dyDescent="0.3">
      <c r="A33" s="7" t="s">
        <v>53</v>
      </c>
      <c r="B33" s="7" t="s">
        <v>54</v>
      </c>
      <c r="C33" s="7" t="s">
        <v>55</v>
      </c>
    </row>
    <row r="34" spans="1:3" ht="28.8" x14ac:dyDescent="0.3">
      <c r="A34" s="7" t="s">
        <v>56</v>
      </c>
      <c r="B34" s="7" t="s">
        <v>57</v>
      </c>
      <c r="C34" s="7" t="s">
        <v>58</v>
      </c>
    </row>
    <row r="35" spans="1:3" ht="28.8" x14ac:dyDescent="0.3">
      <c r="A35" s="7" t="s">
        <v>59</v>
      </c>
      <c r="B35" s="7" t="s">
        <v>60</v>
      </c>
      <c r="C35" s="7" t="s">
        <v>61</v>
      </c>
    </row>
    <row r="36" spans="1:3" ht="43.2" x14ac:dyDescent="0.3">
      <c r="A36" s="7" t="s">
        <v>62</v>
      </c>
      <c r="B36" s="7" t="s">
        <v>63</v>
      </c>
      <c r="C36" s="7" t="s">
        <v>64</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workbookViewId="0"/>
  </sheetViews>
  <sheetFormatPr defaultRowHeight="14.4" x14ac:dyDescent="0.3"/>
  <cols>
    <col min="1" max="1" width="8.77734375" customWidth="1"/>
    <col min="2" max="4" width="45.77734375" customWidth="1"/>
  </cols>
  <sheetData>
    <row r="1" spans="1:4" x14ac:dyDescent="0.3">
      <c r="A1" s="22" t="s">
        <v>65</v>
      </c>
      <c r="B1" s="23"/>
      <c r="C1" s="23"/>
      <c r="D1" s="23"/>
    </row>
    <row r="2" spans="1:4" x14ac:dyDescent="0.3">
      <c r="A2" s="27" t="s">
        <v>66</v>
      </c>
      <c r="B2" s="23"/>
      <c r="C2" s="23"/>
      <c r="D2" s="23"/>
    </row>
    <row r="4" spans="1:4" ht="18" x14ac:dyDescent="0.35">
      <c r="A4" s="1" t="s">
        <v>67</v>
      </c>
    </row>
    <row r="5" spans="1:4" x14ac:dyDescent="0.3">
      <c r="A5" s="6" t="s">
        <v>68</v>
      </c>
      <c r="B5" s="11" t="s">
        <v>69</v>
      </c>
      <c r="C5" s="6" t="s">
        <v>70</v>
      </c>
      <c r="D5" s="11" t="s">
        <v>71</v>
      </c>
    </row>
    <row r="6" spans="1:4" ht="96.6" x14ac:dyDescent="0.3">
      <c r="A6" s="12" t="s">
        <v>72</v>
      </c>
      <c r="B6" s="13" t="s">
        <v>73</v>
      </c>
      <c r="C6" s="12" t="s">
        <v>100</v>
      </c>
      <c r="D6" s="21" t="s">
        <v>154</v>
      </c>
    </row>
    <row r="7" spans="1:4" ht="82.8" x14ac:dyDescent="0.3">
      <c r="A7" s="12" t="s">
        <v>74</v>
      </c>
      <c r="B7" s="13" t="s">
        <v>75</v>
      </c>
      <c r="C7" s="12" t="s">
        <v>100</v>
      </c>
      <c r="D7" s="21" t="s">
        <v>155</v>
      </c>
    </row>
    <row r="8" spans="1:4" ht="82.8" x14ac:dyDescent="0.3">
      <c r="A8" s="12" t="s">
        <v>76</v>
      </c>
      <c r="B8" s="13" t="s">
        <v>77</v>
      </c>
      <c r="C8" s="12" t="s">
        <v>100</v>
      </c>
      <c r="D8" s="21" t="s">
        <v>156</v>
      </c>
    </row>
    <row r="9" spans="1:4" ht="55.2" x14ac:dyDescent="0.3">
      <c r="A9" s="12" t="s">
        <v>78</v>
      </c>
      <c r="B9" s="13" t="s">
        <v>79</v>
      </c>
      <c r="C9" s="12" t="s">
        <v>100</v>
      </c>
      <c r="D9" s="21" t="s">
        <v>157</v>
      </c>
    </row>
    <row r="10" spans="1:4" ht="69" x14ac:dyDescent="0.3">
      <c r="A10" s="12" t="s">
        <v>80</v>
      </c>
      <c r="B10" s="13" t="s">
        <v>81</v>
      </c>
      <c r="C10" s="12" t="s">
        <v>100</v>
      </c>
      <c r="D10" s="21" t="s">
        <v>158</v>
      </c>
    </row>
    <row r="12" spans="1:4" ht="18" x14ac:dyDescent="0.35">
      <c r="A12" s="1" t="s">
        <v>82</v>
      </c>
    </row>
    <row r="13" spans="1:4" x14ac:dyDescent="0.3">
      <c r="A13" s="6" t="s">
        <v>68</v>
      </c>
      <c r="B13" s="11" t="s">
        <v>69</v>
      </c>
      <c r="C13" s="6" t="s">
        <v>70</v>
      </c>
      <c r="D13" s="11" t="s">
        <v>83</v>
      </c>
    </row>
    <row r="14" spans="1:4" ht="41.4" x14ac:dyDescent="0.3">
      <c r="A14" s="12" t="s">
        <v>72</v>
      </c>
      <c r="B14" s="13" t="s">
        <v>84</v>
      </c>
      <c r="C14" s="12" t="s">
        <v>100</v>
      </c>
      <c r="D14" s="21" t="s">
        <v>159</v>
      </c>
    </row>
    <row r="15" spans="1:4" ht="55.2" x14ac:dyDescent="0.3">
      <c r="A15" s="12" t="s">
        <v>74</v>
      </c>
      <c r="B15" s="13" t="s">
        <v>85</v>
      </c>
      <c r="C15" s="12" t="s">
        <v>100</v>
      </c>
      <c r="D15" s="21" t="s">
        <v>160</v>
      </c>
    </row>
    <row r="16" spans="1:4" ht="55.2" x14ac:dyDescent="0.3">
      <c r="A16" s="12" t="s">
        <v>76</v>
      </c>
      <c r="B16" s="13" t="s">
        <v>86</v>
      </c>
      <c r="C16" s="12" t="s">
        <v>100</v>
      </c>
      <c r="D16" s="21" t="s">
        <v>161</v>
      </c>
    </row>
    <row r="17" spans="1:4" ht="69" x14ac:dyDescent="0.3">
      <c r="A17" s="12" t="s">
        <v>78</v>
      </c>
      <c r="B17" s="13" t="s">
        <v>87</v>
      </c>
      <c r="C17" s="12" t="s">
        <v>100</v>
      </c>
      <c r="D17" s="21" t="s">
        <v>101</v>
      </c>
    </row>
    <row r="18" spans="1:4" ht="41.4" x14ac:dyDescent="0.3">
      <c r="A18" s="12" t="s">
        <v>80</v>
      </c>
      <c r="B18" s="13" t="s">
        <v>88</v>
      </c>
      <c r="C18" s="12" t="s">
        <v>100</v>
      </c>
      <c r="D18" s="21" t="s">
        <v>162</v>
      </c>
    </row>
    <row r="20" spans="1:4" ht="15.6" x14ac:dyDescent="0.3">
      <c r="A20" s="14" t="s">
        <v>89</v>
      </c>
    </row>
    <row r="21" spans="1:4" x14ac:dyDescent="0.3">
      <c r="A21" s="15" t="s">
        <v>90</v>
      </c>
    </row>
    <row r="22" spans="1:4" x14ac:dyDescent="0.3">
      <c r="A22" s="15" t="s">
        <v>91</v>
      </c>
    </row>
    <row r="25" spans="1:4" ht="18" x14ac:dyDescent="0.35">
      <c r="A25" s="1" t="s">
        <v>92</v>
      </c>
    </row>
    <row r="26" spans="1:4" x14ac:dyDescent="0.3">
      <c r="A26" s="16" t="s">
        <v>93</v>
      </c>
    </row>
    <row r="27" spans="1:4" x14ac:dyDescent="0.3">
      <c r="A27" s="17" t="s">
        <v>28</v>
      </c>
      <c r="B27" s="10" t="s">
        <v>94</v>
      </c>
      <c r="C27" s="10" t="s">
        <v>95</v>
      </c>
      <c r="D27" s="10" t="s">
        <v>96</v>
      </c>
    </row>
    <row r="28" spans="1:4" ht="72" x14ac:dyDescent="0.3">
      <c r="A28" s="9">
        <v>1</v>
      </c>
      <c r="B28" s="18" t="s">
        <v>163</v>
      </c>
      <c r="C28" s="18" t="s">
        <v>164</v>
      </c>
      <c r="D28" s="18" t="s">
        <v>165</v>
      </c>
    </row>
    <row r="29" spans="1:4" ht="72" x14ac:dyDescent="0.3">
      <c r="A29" s="9">
        <v>2</v>
      </c>
      <c r="B29" s="18" t="s">
        <v>166</v>
      </c>
      <c r="C29" s="18" t="s">
        <v>167</v>
      </c>
      <c r="D29" s="18" t="s">
        <v>168</v>
      </c>
    </row>
    <row r="30" spans="1:4" ht="72" x14ac:dyDescent="0.3">
      <c r="A30" s="9">
        <v>3</v>
      </c>
      <c r="B30" s="18" t="s">
        <v>169</v>
      </c>
      <c r="C30" s="18" t="s">
        <v>170</v>
      </c>
      <c r="D30" s="18" t="s">
        <v>171</v>
      </c>
    </row>
    <row r="31" spans="1:4" ht="72" x14ac:dyDescent="0.3">
      <c r="A31" s="19">
        <v>4</v>
      </c>
      <c r="B31" s="19" t="s">
        <v>172</v>
      </c>
      <c r="C31" s="19" t="s">
        <v>173</v>
      </c>
      <c r="D31" s="19" t="s">
        <v>174</v>
      </c>
    </row>
    <row r="32" spans="1:4" ht="72" x14ac:dyDescent="0.3">
      <c r="A32" s="20">
        <v>5</v>
      </c>
      <c r="B32" s="20" t="s">
        <v>175</v>
      </c>
      <c r="C32" s="20" t="s">
        <v>176</v>
      </c>
      <c r="D32" s="20" t="s">
        <v>177</v>
      </c>
    </row>
    <row r="33" spans="1:4" ht="72" x14ac:dyDescent="0.3">
      <c r="A33" s="20">
        <v>6</v>
      </c>
      <c r="B33" s="20" t="s">
        <v>178</v>
      </c>
      <c r="C33" s="20" t="s">
        <v>179</v>
      </c>
      <c r="D33" s="20" t="s">
        <v>180</v>
      </c>
    </row>
    <row r="34" spans="1:4" ht="72" x14ac:dyDescent="0.3">
      <c r="A34" s="20">
        <v>7</v>
      </c>
      <c r="B34" s="20" t="s">
        <v>181</v>
      </c>
      <c r="C34" s="20" t="s">
        <v>182</v>
      </c>
      <c r="D34" s="20" t="s">
        <v>183</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Minh</cp:lastModifiedBy>
  <dcterms:created xsi:type="dcterms:W3CDTF">2026-05-07T22:28:42Z</dcterms:created>
  <dcterms:modified xsi:type="dcterms:W3CDTF">2026-07-18T13:10:29Z</dcterms:modified>
</cp:coreProperties>
</file>